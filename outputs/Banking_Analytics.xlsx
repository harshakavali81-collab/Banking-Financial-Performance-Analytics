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5a55e5178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1c007f60ae74e16"/>
    <x:sheet xmlns:r="http://schemas.openxmlformats.org/officeDocument/2006/relationships" name="Monthly" sheetId="2" r:id="Rf21a827a7e4944bb"/>
    <x:sheet xmlns:r="http://schemas.openxmlformats.org/officeDocument/2006/relationships" name="Branches" sheetId="3" r:id="R71ebd8947efc4a0d"/>
    <x:sheet xmlns:r="http://schemas.openxmlformats.org/officeDocument/2006/relationships" name="Risk" sheetId="4" r:id="R5a0a4d864da24085"/>
    <x:sheet xmlns:r="http://schemas.openxmlformats.org/officeDocument/2006/relationships" name="Channels" sheetId="5" r:id="R22a59a72c04a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@"/>
    <x:numFmt numFmtId="202" formatCode="dd-mmm-yyyy"/>
    <x:numFmt numFmtId="203" formatCode="#,##0"/>
    <x:numFmt numFmtId="204" formatCode="0.0%"/>
  </x:numFmts>
  <x:fonts count="7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3A5E"/>
      <x:name val="Arial"/>
    </x:font>
    <x:font>
      <x:i/>
      <x:sz val="10"/>
      <x:color rgb="FF64748B"/>
      <x:name val="Arial"/>
    </x:font>
    <x:font>
      <x:b/>
      <x:sz val="10"/>
      <x:name val="Arial"/>
    </x:font>
    <x:font>
      <x:sz val="10"/>
      <x:color rgb="FF64748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E8F0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9cb6ccf3843a9" /><Relationship Type="http://schemas.openxmlformats.org/officeDocument/2006/relationships/theme" Target="/xl/theme/theme1.xml" Id="R39a8d844e05c411b" /><Relationship Type="http://schemas.openxmlformats.org/officeDocument/2006/relationships/sharedStrings" Target="/xl/sharedStrings.xml" Id="Ra2bd40f722e44cfb" /><Relationship Type="http://schemas.openxmlformats.org/officeDocument/2006/relationships/worksheet" Target="/xl/worksheets/sheet1.xml" Id="R81c007f60ae74e16" /><Relationship Type="http://schemas.openxmlformats.org/officeDocument/2006/relationships/worksheet" Target="/xl/worksheets/sheet2.xml" Id="Rf21a827a7e4944bb" /><Relationship Type="http://schemas.openxmlformats.org/officeDocument/2006/relationships/worksheet" Target="/xl/worksheets/sheet3.xml" Id="R71ebd8947efc4a0d" /><Relationship Type="http://schemas.openxmlformats.org/officeDocument/2006/relationships/worksheet" Target="/xl/worksheets/sheet4.xml" Id="R5a0a4d864da24085" /><Relationship Type="http://schemas.openxmlformats.org/officeDocument/2006/relationships/worksheet" Target="/xl/worksheets/sheet5.xml" Id="R22a59a72c04a49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56bd537025465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ea4fcc714904abd" /><Relationship Type="http://schemas.openxmlformats.org/officeDocument/2006/relationships/chart" Target="/xl/drawings/charts/chart3.xml" Id="R13c80c0f87e24fd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fa49bec39f6498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f34ecdb28e142c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5559b97c247b41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Month-end balances (INR million)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deposit_balance</c:v>
          </c:tx>
          <c:marker>
            <c:symbol val="none"/>
          </c:marker>
          <c:cat>
            <c:strRef>
              <c:f>'Monthly'!$A$2:$A$13</c:f>
              <c:strCache>
                <c:ptCount val="0"/>
              </c:strCache>
            </c:strRef>
          </c:cat>
          <c:val>
            <c:numRef>
              <c:f>'Monthly'!$C$2:$C$13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loan_outstanding</c:v>
          </c:tx>
          <c:marker>
            <c:symbol val="none"/>
          </c:marker>
          <c:cat>
            <c:strRef>
              <c:f>'Monthly'!$A$2:$A$13</c:f>
              <c:strCache>
                <c:ptCount val="0"/>
              </c:strCache>
            </c:strRef>
          </c:cat>
          <c:val>
            <c:numRef>
              <c:f>'Monthly'!$D$2:$D$13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,,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Month-end deposits and loans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deposit_balance</c:v>
          </c:tx>
          <c:marker>
            <c:symbol val="none"/>
          </c:marker>
          <c:cat>
            <c:strRef>
              <c:f>'Monthly'!$A$2:$A$13</c:f>
              <c:strCache>
                <c:ptCount val="0"/>
              </c:strCache>
            </c:strRef>
          </c:cat>
          <c:val>
            <c:numRef>
              <c:f>'Monthly'!$C$2:$C$13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loan_outstanding</c:v>
          </c:tx>
          <c:marker>
            <c:symbol val="none"/>
          </c:marker>
          <c:cat>
            <c:strRef>
              <c:f>'Monthly'!$A$2:$A$13</c:f>
              <c:strCache>
                <c:ptCount val="0"/>
              </c:strCache>
            </c:strRef>
          </c:cat>
          <c:val>
            <c:numRef>
              <c:f>'Monthly'!$D$2:$D$13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,,&quot; M&quot;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operating profit before losses/tax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operating_profit</c:v>
          </c:tx>
          <c:cat>
            <c:strRef>
              <c:f>'Monthly'!$A$2:$A$13</c:f>
              <c:strCache>
                <c:ptCount val="0"/>
              </c:strCache>
            </c:strRef>
          </c:cat>
          <c:val>
            <c:numRef>
              <c:f>'Monthly'!$K$2:$K$13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,,&quot; M&quot;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Branch deposit balances (INR million)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deposit_balance</c:v>
          </c:tx>
          <c:cat>
            <c:strRef>
              <c:f>'Branches'!$B$2:$B$9</c:f>
              <c:strCache>
                <c:ptCount val="0"/>
              </c:strCache>
            </c:strRef>
          </c:cat>
          <c:val>
            <c:numRef>
              <c:f>'Branches'!$E$2:$E$9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,,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90+ DPD loan rate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dpd90_loan_rate</c:v>
          </c:tx>
          <c:cat>
            <c:strRef>
              <c:f>'Risk'!$A$2:$A$4</c:f>
              <c:strCache>
                <c:ptCount val="0"/>
              </c:strCache>
            </c:strRef>
          </c:cat>
          <c:val>
            <c:numRef>
              <c:f>'Risk'!$E$2:$E$4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Transaction count by channel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transaction_count</c:v>
          </c:tx>
          <c:cat>
            <c:strRef>
              <c:f>'Channels'!$A$2:$A$5</c:f>
              <c:strCache>
                <c:ptCount val="0"/>
              </c:strCache>
            </c:strRef>
          </c:cat>
          <c:val>
            <c:numRef>
              <c:f>'Channels'!$B$2:$B$5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56bd537025465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a4fcc714904abd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c80c0f87e24fd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15</xdr:col>
      <xdr:colOff>0</xdr:colOff>
      <xdr:row>1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49bec39f6498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34ecdb28e142c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59b97c247b41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Data" displayName="MonthlyData" ref="A1:K13" headerRowCount="1" totalsRowCount="0" totalsRowShown="0">
  <x:tableColumns count="11">
    <x:tableColumn id="1" name="month"/>
    <x:tableColumn id="2" name="snapshot_date"/>
    <x:tableColumn id="3" name="deposit_balance"/>
    <x:tableColumn id="4" name="loan_outstanding"/>
    <x:tableColumn id="5" name="dpd90_outstanding"/>
    <x:tableColumn id="6" name="interest_income"/>
    <x:tableColumn id="7" name="interest_expense"/>
    <x:tableColumn id="8" name="fee_income"/>
    <x:tableColumn id="9" name="operating_expense"/>
    <x:tableColumn id="10" name="net_interest_income"/>
    <x:tableColumn id="11" name="operating_prof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chesData" displayName="BranchesData" ref="A1:N9" headerRowCount="1" totalsRowCount="0" totalsRowShown="0">
  <x:tableColumns count="14">
    <x:tableColumn id="1" name="branch_id"/>
    <x:tableColumn id="2" name="branch_name"/>
    <x:tableColumn id="3" name="city"/>
    <x:tableColumn id="4" name="region"/>
    <x:tableColumn id="5" name="deposit_balance"/>
    <x:tableColumn id="6" name="account_customers"/>
    <x:tableColumn id="7" name="loan_outstanding"/>
    <x:tableColumn id="8" name="dpd90_outstanding"/>
    <x:tableColumn id="9" name="loan_to_deposit_ratio"/>
    <x:tableColumn id="10" name="dpd90_exposure_ratio"/>
    <x:tableColumn id="11" name="net_interest_income"/>
    <x:tableColumn id="12" name="fee_income"/>
    <x:tableColumn id="13" name="operating_expense"/>
    <x:tableColumn id="14" name="operating_prof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1:F4" headerRowCount="1" totalsRowCount="0" totalsRowShown="0">
  <x:tableColumns count="6">
    <x:tableColumn id="1" name="score_band"/>
    <x:tableColumn id="2" name="loan_count"/>
    <x:tableColumn id="3" name="outstanding"/>
    <x:tableColumn id="4" name="dpd90_count"/>
    <x:tableColumn id="5" name="dpd90_loan_rate"/>
    <x:tableColumn id="6" name="dpd90_exposure_rati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nnelsData" displayName="ChannelsData" ref="A1:D5" headerRowCount="1" totalsRowCount="0" totalsRowShown="0">
  <x:tableColumns count="4">
    <x:tableColumn id="1" name="channel"/>
    <x:tableColumn id="2" name="transaction_count"/>
    <x:tableColumn id="3" name="transaction_value"/>
    <x:tableColumn id="4" name="transaction_sh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7c46a2719649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c4662d39f504ffb" /><Relationship Type="http://schemas.openxmlformats.org/officeDocument/2006/relationships/table" Target="/xl/tables/table1.xml" Id="Rba7a4bbc82c947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6a36e12211746f6" /><Relationship Type="http://schemas.openxmlformats.org/officeDocument/2006/relationships/table" Target="/xl/tables/table2.xml" Id="R3c0c1f87c00e47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2ed18de20294e49" /><Relationship Type="http://schemas.openxmlformats.org/officeDocument/2006/relationships/table" Target="/xl/tables/table3.xml" Id="R0d3ae7c28de44d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142ddfcaa7cc43a2" /><Relationship Type="http://schemas.openxmlformats.org/officeDocument/2006/relationships/table" Target="/xl/tables/table4.xml" Id="Re2a57597f69f43a4" /></Relationships>
</file>

<file path=xl/worksheets/sheet1.xml><?xml version="1.0" encoding="utf-8"?>
<x:worksheet xmlns:x="http://schemas.openxmlformats.org/spreadsheetml/2006/main">
  <x:sheetPr>
    <x:tabColor rgb="FF173A5E"/>
  </x:sheetPr>
  <x:sheetViews>
    <x:sheetView showGridLines="0" workbookViewId="0"/>
  </x:sheetViews>
  <x:sheetFormatPr defaultRowHeight="15"/>
  <x:cols>
    <x:col min="1" max="1" width="39" hidden="0" customWidth="1"/>
    <x:col min="2" max="2" width="21" hidden="0" customWidth="1"/>
    <x:col min="3" max="3" width="3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2" t="str">
        <x:v>Banking performance analytics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3" t="str">
        <x:v>Synthetic 2025 portfolio. Stocks at 31 Dec; flows for the full year.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5" customHeight="1">
      <x:c r="A5" s="3" t="str">
        <x:v>Metric</x:v>
      </x:c>
      <x:c r="B5" s="3" t="str">
        <x:v>Result</x:v>
      </x:c>
      <x:c r="C5" s="3" t="str">
        <x:v>Basis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Deposit balance (INR)</x:v>
      </x:c>
      <x:c r="B6" s="7" t="n">
        <x:f>'Monthly'!C13</x:f>
        <x:v>523202617.11</x:v>
      </x:c>
      <x:c r="C6" s="1" t="str">
        <x:v>31 December 2025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" t="str">
        <x:v>Loan outstanding (INR)</x:v>
      </x:c>
      <x:c r="B7" s="7" t="n">
        <x:f>'Monthly'!D13</x:f>
        <x:v>899819122.17</x:v>
      </x:c>
      <x:c r="C7" s="1" t="str">
        <x:v>31 December 2025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 t="str">
        <x:v>Loan-to-deposit ratio</x:v>
      </x:c>
      <x:c r="B8" s="11" t="n">
        <x:f>B7/B6</x:f>
        <x:v>1.7198291689370864</x:v>
      </x:c>
      <x:c r="C8" s="1" t="str">
        <x:v>31 December 2025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 t="str">
        <x:v>90+ DPD exposure ratio (proxy)</x:v>
      </x:c>
      <x:c r="B9" s="11" t="n">
        <x:f>'Monthly'!E13/B7</x:f>
        <x:v>0.3599240094042066</x:v>
      </x:c>
      <x:c r="C9" s="1" t="str">
        <x:v>31 December 2025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 t="str">
        <x:v>Net interest income (INR)</x:v>
      </x:c>
      <x:c r="B10" s="7" t="n">
        <x:f>SUM('Monthly'!J2:J13)</x:f>
        <x:v>72384180.85999998</x:v>
      </x:c>
      <x:c r="C10" s="1" t="str">
        <x:v>January-December 2025</x:v>
      </x:c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 t="str">
        <x:v>Fee income (INR)</x:v>
      </x:c>
      <x:c r="B11" s="7" t="n">
        <x:f>SUM('Monthly'!H2:H13)</x:f>
        <x:v>720000</x:v>
      </x:c>
      <x:c r="C11" s="1" t="str">
        <x:v>January-December 2025</x:v>
      </x:c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 t="str">
        <x:v>Operating expenses (INR)</x:v>
      </x:c>
      <x:c r="B12" s="7" t="n">
        <x:f>SUM('Monthly'!I2:I13)</x:f>
        <x:v>9960000</x:v>
      </x:c>
      <x:c r="C12" s="1" t="str">
        <x:v>January-December 2025</x:v>
      </x:c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6" t="str">
        <x:v>Operating profit before losses/tax (INR)</x:v>
      </x:c>
      <x:c r="B13" s="17" t="n">
        <x:f>B10+B11-B12</x:f>
        <x:v>63144180.859999985</x:v>
      </x:c>
      <x:c r="C13" s="14" t="str">
        <x:v>January-December 2025</x:v>
      </x:c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 t="str">
        <x:v>Cost-to-income ratio</x:v>
      </x:c>
      <x:c r="B14" s="11" t="n">
        <x:f>B12/(B10+B11)</x:f>
        <x:v>0.13624391769157704</x:v>
      </x:c>
      <x:c r="C14" s="1" t="str">
        <x:v>January-December 2025</x:v>
      </x:c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 t="str">
        <x:v>Annual transactions</x:v>
      </x:c>
      <x:c r="B15" s="10" t="n">
        <x:f>SUM('Channels'!B2:B5)</x:f>
        <x:v>40000</x:v>
      </x:c>
      <x:c r="C15" s="1" t="str">
        <x:v>January-December 2025</x:v>
      </x:c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 t="str">
        <x:v>Digital transaction share</x:v>
      </x:c>
      <x:c r="B16" s="11" t="n">
        <x:f>SUMIFS('Channels'!B2:B5,'Channels'!A2:A5,"Mobile")/B15+SUMIFS('Channels'!B2:B5,'Channels'!A2:A5,"Internet")/B15</x:f>
        <x:v>0.71705</x:v>
      </x:c>
      <x:c r="C16" s="1" t="str">
        <x:v>January-December 2025</x:v>
      </x:c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8" t="str">
        <x:v>Operating profit excludes credit losses and tax.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8" t="str">
        <x:v>90+ DPD is an analytical proxy, not regulatory NPA.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  <x:drawing xmlns:r="http://schemas.openxmlformats.org/officeDocument/2006/relationships" r:id="Rac7c46a27196491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5" customHeight="1">
      <x:c r="A1" s="6" t="str">
        <x:v>month</x:v>
      </x:c>
      <x:c r="B1" s="6" t="str">
        <x:v>snapshot_date</x:v>
      </x:c>
      <x:c r="C1" s="6" t="str">
        <x:v>deposit_balance</x:v>
      </x:c>
      <x:c r="D1" s="6" t="str">
        <x:v>loan_outstanding</x:v>
      </x:c>
      <x:c r="E1" s="6" t="str">
        <x:v>dpd90_outstanding</x:v>
      </x:c>
      <x:c r="F1" s="6" t="str">
        <x:v>interest_income</x:v>
      </x:c>
      <x:c r="G1" s="6" t="str">
        <x:v>interest_expense</x:v>
      </x:c>
      <x:c r="H1" s="6" t="str">
        <x:v>fee_income</x:v>
      </x:c>
      <x:c r="I1" s="6" t="str">
        <x:v>operating_expense</x:v>
      </x:c>
      <x:c r="J1" s="6" t="str">
        <x:v>net_interest_income</x:v>
      </x:c>
      <x:c r="K1" s="6" t="str">
        <x:v>operating_profit</x:v>
      </x:c>
    </x:row>
    <x:row r="2" ht="23" customHeight="1">
      <x:c r="A2" s="8" t="str">
        <x:v>2025-01</x:v>
      </x:c>
      <x:c r="B2" s="9" t="n">
        <x:v>45688</x:v>
      </x:c>
      <x:c r="C2" s="7" t="n">
        <x:v>525682243.5</x:v>
      </x:c>
      <x:c r="D2" s="7" t="n">
        <x:v>1191323651.31</x:v>
      </x:c>
      <x:c r="E2" s="7" t="n">
        <x:v>0</x:v>
      </x:c>
      <x:c r="F2" s="7" t="n">
        <x:v>12418069.28</x:v>
      </x:c>
      <x:c r="G2" s="7" t="n">
        <x:v>5970691.39</x:v>
      </x:c>
      <x:c r="H2" s="7" t="n">
        <x:v>61812</x:v>
      </x:c>
      <x:c r="I2" s="7" t="n">
        <x:v>830906</x:v>
      </x:c>
      <x:c r="J2" s="7" t="n">
        <x:f>F2-G2</x:f>
        <x:v>6447377.89</x:v>
      </x:c>
      <x:c r="K2" s="7" t="n">
        <x:f>J2+H2-I2</x:f>
        <x:v>5678283.89</x:v>
      </x:c>
    </x:row>
    <x:row r="3" ht="23" customHeight="1">
      <x:c r="A3" s="8" t="str">
        <x:v>2025-02</x:v>
      </x:c>
      <x:c r="B3" s="9" t="n">
        <x:v>45716</x:v>
      </x:c>
      <x:c r="C3" s="7" t="n">
        <x:v>524964940.65</x:v>
      </x:c>
      <x:c r="D3" s="7" t="n">
        <x:v>1164714678.72</x:v>
      </x:c>
      <x:c r="E3" s="7" t="n">
        <x:v>0</x:v>
      </x:c>
      <x:c r="F3" s="7" t="n">
        <x:v>12346676.48</x:v>
      </x:c>
      <x:c r="G3" s="7" t="n">
        <x:v>5797192.0600000005</x:v>
      </x:c>
      <x:c r="H3" s="7" t="n">
        <x:v>55368</x:v>
      </x:c>
      <x:c r="I3" s="7" t="n">
        <x:v>827684</x:v>
      </x:c>
      <x:c r="J3" s="7" t="n">
        <x:f>F3-G3</x:f>
        <x:v>6549484.42</x:v>
      </x:c>
      <x:c r="K3" s="7" t="n">
        <x:f>J3+H3-I3</x:f>
        <x:v>5777168.42</x:v>
      </x:c>
    </x:row>
    <x:row r="4" ht="23" customHeight="1">
      <x:c r="A4" s="8" t="str">
        <x:v>2025-03</x:v>
      </x:c>
      <x:c r="B4" s="9" t="n">
        <x:v>45747</x:v>
      </x:c>
      <x:c r="C4" s="7" t="n">
        <x:v>524174200.74</x:v>
      </x:c>
      <x:c r="D4" s="7" t="n">
        <x:v>1138689837.4</x:v>
      </x:c>
      <x:c r="E4" s="7" t="n">
        <x:v>0</x:v>
      </x:c>
      <x:c r="F4" s="7" t="n">
        <x:v>11926677.23</x:v>
      </x:c>
      <x:c r="G4" s="7" t="n">
        <x:v>5626765.49</x:v>
      </x:c>
      <x:c r="H4" s="7" t="n">
        <x:v>60678</x:v>
      </x:c>
      <x:c r="I4" s="7" t="n">
        <x:v>830339</x:v>
      </x:c>
      <x:c r="J4" s="7" t="n">
        <x:f>F4-G4</x:f>
        <x:v>6299911.74</x:v>
      </x:c>
      <x:c r="K4" s="7" t="n">
        <x:f>J4+H4-I4</x:f>
        <x:v>5530250.74</x:v>
      </x:c>
    </x:row>
    <x:row r="5" ht="23" customHeight="1">
      <x:c r="A5" s="8" t="str">
        <x:v>2025-04</x:v>
      </x:c>
      <x:c r="B5" s="9" t="n">
        <x:v>45777</x:v>
      </x:c>
      <x:c r="C5" s="7" t="n">
        <x:v>523852802.59</x:v>
      </x:c>
      <x:c r="D5" s="7" t="n">
        <x:v>1111988183.76</x:v>
      </x:c>
      <x:c r="E5" s="7" t="n">
        <x:v>72322571.77</x:v>
      </x:c>
      <x:c r="F5" s="7" t="n">
        <x:v>11800556.76</x:v>
      </x:c>
      <x:c r="G5" s="7" t="n">
        <x:v>5449275.27</x:v>
      </x:c>
      <x:c r="H5" s="7" t="n">
        <x:v>59796</x:v>
      </x:c>
      <x:c r="I5" s="7" t="n">
        <x:v>829898</x:v>
      </x:c>
      <x:c r="J5" s="7" t="n">
        <x:f>F5-G5</x:f>
        <x:v>6351281.49</x:v>
      </x:c>
      <x:c r="K5" s="7" t="n">
        <x:f>J5+H5-I5</x:f>
        <x:v>5581179.49</x:v>
      </x:c>
    </x:row>
    <x:row r="6" ht="23" customHeight="1">
      <x:c r="A6" s="8" t="str">
        <x:v>2025-05</x:v>
      </x:c>
      <x:c r="B6" s="9" t="n">
        <x:v>45808</x:v>
      </x:c>
      <x:c r="C6" s="7" t="n">
        <x:v>525205658.2</x:v>
      </x:c>
      <x:c r="D6" s="7" t="n">
        <x:v>1085991625.58</x:v>
      </x:c>
      <x:c r="E6" s="7" t="n">
        <x:v>117238642.68</x:v>
      </x:c>
      <x:c r="F6" s="7" t="n">
        <x:v>11244301.47</x:v>
      </x:c>
      <x:c r="G6" s="7" t="n">
        <x:v>5268450.05</x:v>
      </x:c>
      <x:c r="H6" s="7" t="n">
        <x:v>62982</x:v>
      </x:c>
      <x:c r="I6" s="7" t="n">
        <x:v>831491</x:v>
      </x:c>
      <x:c r="J6" s="7" t="n">
        <x:f>F6-G6</x:f>
        <x:v>5975851.420000001</x:v>
      </x:c>
      <x:c r="K6" s="7" t="n">
        <x:f>J6+H6-I6</x:f>
        <x:v>5207342.420000001</x:v>
      </x:c>
    </x:row>
    <x:row r="7" ht="23" customHeight="1">
      <x:c r="A7" s="8" t="str">
        <x:v>2025-06</x:v>
      </x:c>
      <x:c r="B7" s="9" t="n">
        <x:v>45838</x:v>
      </x:c>
      <x:c r="C7" s="7" t="n">
        <x:v>524742463.58</x:v>
      </x:c>
      <x:c r="D7" s="7" t="n">
        <x:v>1059213347.16</x:v>
      </x:c>
      <x:c r="E7" s="7" t="n">
        <x:v>167804706.18</x:v>
      </x:c>
      <x:c r="F7" s="7" t="n">
        <x:v>11220042.53</x:v>
      </x:c>
      <x:c r="G7" s="7" t="n">
        <x:v>5094313.57</x:v>
      </x:c>
      <x:c r="H7" s="7" t="n">
        <x:v>59130</x:v>
      </x:c>
      <x:c r="I7" s="7" t="n">
        <x:v>829565</x:v>
      </x:c>
      <x:c r="J7" s="7" t="n">
        <x:f>F7-G7</x:f>
        <x:v>6125728.959999999</x:v>
      </x:c>
      <x:c r="K7" s="7" t="n">
        <x:f>J7+H7-I7</x:f>
        <x:v>5355293.959999999</x:v>
      </x:c>
    </x:row>
    <x:row r="8" ht="23" customHeight="1">
      <x:c r="A8" s="8" t="str">
        <x:v>2025-07</x:v>
      </x:c>
      <x:c r="B8" s="9" t="n">
        <x:v>45869</x:v>
      </x:c>
      <x:c r="C8" s="7" t="n">
        <x:v>524018772.82</x:v>
      </x:c>
      <x:c r="D8" s="7" t="n">
        <x:v>1032847890.45</x:v>
      </x:c>
      <x:c r="E8" s="7" t="n">
        <x:v>195777218.69</x:v>
      </x:c>
      <x:c r="F8" s="7" t="n">
        <x:v>10918826.84</x:v>
      </x:c>
      <x:c r="G8" s="7" t="n">
        <x:v>4921637.5600000005</x:v>
      </x:c>
      <x:c r="H8" s="7" t="n">
        <x:v>60606</x:v>
      </x:c>
      <x:c r="I8" s="7" t="n">
        <x:v>830303</x:v>
      </x:c>
      <x:c r="J8" s="7" t="n">
        <x:f>F8-G8</x:f>
        <x:v>5997189.279999999</x:v>
      </x:c>
      <x:c r="K8" s="7" t="n">
        <x:f>J8+H8-I8</x:f>
        <x:v>5227492.279999999</x:v>
      </x:c>
    </x:row>
    <x:row r="9" ht="23" customHeight="1">
      <x:c r="A9" s="8" t="str">
        <x:v>2025-08</x:v>
      </x:c>
      <x:c r="B9" s="9" t="n">
        <x:v>45900</x:v>
      </x:c>
      <x:c r="C9" s="7" t="n">
        <x:v>523097729.13</x:v>
      </x:c>
      <x:c r="D9" s="7" t="n">
        <x:v>1005946692.32</x:v>
      </x:c>
      <x:c r="E9" s="7" t="n">
        <x:v>241144576.53</x:v>
      </x:c>
      <x:c r="F9" s="7" t="n">
        <x:v>10774038.55</x:v>
      </x:c>
      <x:c r="G9" s="7" t="n">
        <x:v>4746038</x:v>
      </x:c>
      <x:c r="H9" s="7" t="n">
        <x:v>60228</x:v>
      </x:c>
      <x:c r="I9" s="7" t="n">
        <x:v>830114</x:v>
      </x:c>
      <x:c r="J9" s="7" t="n">
        <x:f>F9-G9</x:f>
        <x:v>6028000.550000001</x:v>
      </x:c>
      <x:c r="K9" s="7" t="n">
        <x:f>J9+H9-I9</x:f>
        <x:v>5258114.550000001</x:v>
      </x:c>
    </x:row>
    <x:row r="10" ht="23" customHeight="1">
      <x:c r="A10" s="8" t="str">
        <x:v>2025-09</x:v>
      </x:c>
      <x:c r="B10" s="9" t="n">
        <x:v>45930</x:v>
      </x:c>
      <x:c r="C10" s="7" t="n">
        <x:v>524310604.27</x:v>
      </x:c>
      <x:c r="D10" s="7" t="n">
        <x:v>979625845.5</x:v>
      </x:c>
      <x:c r="E10" s="7" t="n">
        <x:v>273057083.44</x:v>
      </x:c>
      <x:c r="F10" s="7" t="n">
        <x:v>10300113.97</x:v>
      </x:c>
      <x:c r="G10" s="7" t="n">
        <x:v>4562905.42</x:v>
      </x:c>
      <x:c r="H10" s="7" t="n">
        <x:v>59094</x:v>
      </x:c>
      <x:c r="I10" s="7" t="n">
        <x:v>829547</x:v>
      </x:c>
      <x:c r="J10" s="7" t="n">
        <x:f>F10-G10</x:f>
        <x:v>5737208.550000001</x:v>
      </x:c>
      <x:c r="K10" s="7" t="n">
        <x:f>J10+H10-I10</x:f>
        <x:v>4966755.550000001</x:v>
      </x:c>
    </x:row>
    <x:row r="11" ht="23" customHeight="1">
      <x:c r="A11" s="8" t="str">
        <x:v>2025-10</x:v>
      </x:c>
      <x:c r="B11" s="9" t="n">
        <x:v>45961</x:v>
      </x:c>
      <x:c r="C11" s="7" t="n">
        <x:v>523831725.15</x:v>
      </x:c>
      <x:c r="D11" s="7" t="n">
        <x:v>952971095.88</x:v>
      </x:c>
      <x:c r="E11" s="7" t="n">
        <x:v>294410042.01</x:v>
      </x:c>
      <x:c r="F11" s="7" t="n">
        <x:v>10113772.6</x:v>
      </x:c>
      <x:c r="G11" s="7" t="n">
        <x:v>4389470.05</x:v>
      </x:c>
      <x:c r="H11" s="7" t="n">
        <x:v>60804</x:v>
      </x:c>
      <x:c r="I11" s="7" t="n">
        <x:v>830402</x:v>
      </x:c>
      <x:c r="J11" s="7" t="n">
        <x:f>F11-G11</x:f>
        <x:v>5724302.55</x:v>
      </x:c>
      <x:c r="K11" s="7" t="n">
        <x:f>J11+H11-I11</x:f>
        <x:v>4954704.55</x:v>
      </x:c>
    </x:row>
    <x:row r="12" ht="23" customHeight="1">
      <x:c r="A12" s="8" t="str">
        <x:v>2025-11</x:v>
      </x:c>
      <x:c r="B12" s="9" t="n">
        <x:v>45991</x:v>
      </x:c>
      <x:c r="C12" s="7" t="n">
        <x:v>523626859.84</x:v>
      </x:c>
      <x:c r="D12" s="7" t="n">
        <x:v>926265208.4</x:v>
      </x:c>
      <x:c r="E12" s="7" t="n">
        <x:v>306394387.37</x:v>
      </x:c>
      <x:c r="F12" s="7" t="n">
        <x:v>9874124.84</x:v>
      </x:c>
      <x:c r="G12" s="7" t="n">
        <x:v>4211799.43</x:v>
      </x:c>
      <x:c r="H12" s="7" t="n">
        <x:v>58482</x:v>
      </x:c>
      <x:c r="I12" s="7" t="n">
        <x:v>829241</x:v>
      </x:c>
      <x:c r="J12" s="7" t="n">
        <x:f>F12-G12</x:f>
        <x:v>5662325.41</x:v>
      </x:c>
      <x:c r="K12" s="7" t="n">
        <x:f>J12+H12-I12</x:f>
        <x:v>4891566.41</x:v>
      </x:c>
    </x:row>
    <x:row r="13" ht="23" customHeight="1">
      <x:c r="A13" s="8" t="str">
        <x:v>2025-12</x:v>
      </x:c>
      <x:c r="B13" s="9" t="n">
        <x:v>46022</x:v>
      </x:c>
      <x:c r="C13" s="7" t="n">
        <x:v>523202617.11</x:v>
      </x:c>
      <x:c r="D13" s="7" t="n">
        <x:v>899819122.17</x:v>
      </x:c>
      <x:c r="E13" s="7" t="n">
        <x:v>323866506.19</x:v>
      </x:c>
      <x:c r="F13" s="7" t="n">
        <x:v>9522921.62</x:v>
      </x:c>
      <x:c r="G13" s="7" t="n">
        <x:v>4037403.02</x:v>
      </x:c>
      <x:c r="H13" s="7" t="n">
        <x:v>61020</x:v>
      </x:c>
      <x:c r="I13" s="7" t="n">
        <x:v>830510</x:v>
      </x:c>
      <x:c r="J13" s="7" t="n">
        <x:f>F13-G13</x:f>
        <x:v>5485518.6</x:v>
      </x:c>
      <x:c r="K13" s="7" t="n">
        <x:f>J13+H13-I13</x:f>
        <x:v>4716028.6</x:v>
      </x:c>
    </x:row>
  </x:sheetData>
  <x:pageMargins left="0.7" right="0.7" top="0.75" bottom="0.75" header="0.3" footer="0.3"/>
  <x:drawing xmlns:r="http://schemas.openxmlformats.org/officeDocument/2006/relationships" r:id="Rdc4662d39f504ffb"/>
  <x:tableParts count="1">
    <x:tablePart xmlns:r="http://schemas.openxmlformats.org/officeDocument/2006/relationships" r:id="Rba7a4bbc82c9477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45" customHeight="1">
      <x:c r="A1" s="6" t="str">
        <x:v>branch_id</x:v>
      </x:c>
      <x:c r="B1" s="6" t="str">
        <x:v>branch_name</x:v>
      </x:c>
      <x:c r="C1" s="6" t="str">
        <x:v>city</x:v>
      </x:c>
      <x:c r="D1" s="6" t="str">
        <x:v>region</x:v>
      </x:c>
      <x:c r="E1" s="6" t="str">
        <x:v>deposit_balance</x:v>
      </x:c>
      <x:c r="F1" s="6" t="str">
        <x:v>account_customers</x:v>
      </x:c>
      <x:c r="G1" s="6" t="str">
        <x:v>loan_outstanding</x:v>
      </x:c>
      <x:c r="H1" s="6" t="str">
        <x:v>dpd90_outstanding</x:v>
      </x:c>
      <x:c r="I1" s="6" t="str">
        <x:v>loan_to_deposit_ratio</x:v>
      </x:c>
      <x:c r="J1" s="6" t="str">
        <x:v>dpd90_exposure_ratio</x:v>
      </x:c>
      <x:c r="K1" s="6" t="str">
        <x:v>net_interest_income</x:v>
      </x:c>
      <x:c r="L1" s="6" t="str">
        <x:v>fee_income</x:v>
      </x:c>
      <x:c r="M1" s="6" t="str">
        <x:v>operating_expense</x:v>
      </x:c>
      <x:c r="N1" s="6" t="str">
        <x:v>operating_profit</x:v>
      </x:c>
    </x:row>
    <x:row r="2" ht="23" customHeight="1">
      <x:c r="A2" s="10" t="n">
        <x:v>1</x:v>
      </x:c>
      <x:c r="B2" s="8" t="str">
        <x:v>Hyderabad Central</x:v>
      </x:c>
      <x:c r="C2" s="8" t="str">
        <x:v>Hyderabad</x:v>
      </x:c>
      <x:c r="D2" s="8" t="str">
        <x:v>South</x:v>
      </x:c>
      <x:c r="E2" s="7" t="n">
        <x:v>61792434.1</x:v>
      </x:c>
      <x:c r="F2" s="10" t="n">
        <x:v>299</x:v>
      </x:c>
      <x:c r="G2" s="7" t="n">
        <x:v>122490485.97</x:v>
      </x:c>
      <x:c r="H2" s="7" t="n">
        <x:v>34817804.63</x:v>
      </x:c>
      <x:c r="I2" s="11" t="n">
        <x:f>G2/E2</x:f>
        <x:v>1.9822893814438682</x:v>
      </x:c>
      <x:c r="J2" s="11" t="n">
        <x:f>H2/G2</x:f>
        <x:v>0.2842490529307515</x:v>
      </x:c>
      <x:c r="K2" s="7" t="n">
        <x:v>9582050.88</x:v>
      </x:c>
      <x:c r="L2" s="7" t="n">
        <x:v>85482</x:v>
      </x:c>
      <x:c r="M2" s="7" t="n">
        <x:v>1222941</x:v>
      </x:c>
      <x:c r="N2" s="7" t="n">
        <x:f>K2+L2-M2</x:f>
        <x:v>8444591.88</x:v>
      </x:c>
    </x:row>
    <x:row r="3" ht="23" customHeight="1">
      <x:c r="A3" s="10" t="n">
        <x:v>2</x:v>
      </x:c>
      <x:c r="B3" s="8" t="str">
        <x:v>Hyderabad West</x:v>
      </x:c>
      <x:c r="C3" s="8" t="str">
        <x:v>Hyderabad</x:v>
      </x:c>
      <x:c r="D3" s="8" t="str">
        <x:v>South</x:v>
      </x:c>
      <x:c r="E3" s="7" t="n">
        <x:v>66127019.68</x:v>
      </x:c>
      <x:c r="F3" s="10" t="n">
        <x:v>323</x:v>
      </x:c>
      <x:c r="G3" s="7" t="n">
        <x:v>120000322.7</x:v>
      </x:c>
      <x:c r="H3" s="7" t="n">
        <x:v>41194055.34</x:v>
      </x:c>
      <x:c r="I3" s="11" t="n">
        <x:f>G3/E3</x:f>
        <x:v>1.8146942547948202</x:v>
      </x:c>
      <x:c r="J3" s="11" t="n">
        <x:f>H3/G3</x:f>
        <x:v>0.3432828713551451</x:v>
      </x:c>
      <x:c r="K3" s="7" t="n">
        <x:v>9342650.91</x:v>
      </x:c>
      <x:c r="L3" s="7" t="n">
        <x:v>94302</x:v>
      </x:c>
      <x:c r="M3" s="7" t="n">
        <x:v>1261551</x:v>
      </x:c>
      <x:c r="N3" s="7" t="n">
        <x:f>K3+L3-M3</x:f>
        <x:v>8175401.91</x:v>
      </x:c>
    </x:row>
    <x:row r="4" ht="23" customHeight="1">
      <x:c r="A4" s="10" t="n">
        <x:v>3</x:v>
      </x:c>
      <x:c r="B4" s="8" t="str">
        <x:v>Bengaluru Central</x:v>
      </x:c>
      <x:c r="C4" s="8" t="str">
        <x:v>Bengaluru</x:v>
      </x:c>
      <x:c r="D4" s="8" t="str">
        <x:v>South</x:v>
      </x:c>
      <x:c r="E4" s="7" t="n">
        <x:v>64997672.34</x:v>
      </x:c>
      <x:c r="F4" s="10" t="n">
        <x:v>316</x:v>
      </x:c>
      <x:c r="G4" s="7" t="n">
        <x:v>110403706.14</x:v>
      </x:c>
      <x:c r="H4" s="7" t="n">
        <x:v>33965880.73</x:v>
      </x:c>
      <x:c r="I4" s="11" t="n">
        <x:f>G4/E4</x:f>
        <x:v>1.6985793823890032</x:v>
      </x:c>
      <x:c r="J4" s="11" t="n">
        <x:f>H4/G4</x:f>
        <x:v>0.3076516352352227</x:v>
      </x:c>
      <x:c r="K4" s="7" t="n">
        <x:v>8546928.1</x:v>
      </x:c>
      <x:c r="L4" s="7" t="n">
        <x:v>91962</x:v>
      </x:c>
      <x:c r="M4" s="7" t="n">
        <x:v>1254981</x:v>
      </x:c>
      <x:c r="N4" s="7" t="n">
        <x:f>K4+L4-M4</x:f>
        <x:v>7383909.1</x:v>
      </x:c>
    </x:row>
    <x:row r="5" ht="23" customHeight="1">
      <x:c r="A5" s="10" t="n">
        <x:v>4</x:v>
      </x:c>
      <x:c r="B5" s="8" t="str">
        <x:v>Bengaluru East</x:v>
      </x:c>
      <x:c r="C5" s="8" t="str">
        <x:v>Bengaluru</x:v>
      </x:c>
      <x:c r="D5" s="8" t="str">
        <x:v>South</x:v>
      </x:c>
      <x:c r="E5" s="7" t="n">
        <x:v>63904740.01</x:v>
      </x:c>
      <x:c r="F5" s="10" t="n">
        <x:v>306</x:v>
      </x:c>
      <x:c r="G5" s="7" t="n">
        <x:v>99445011.05</x:v>
      </x:c>
      <x:c r="H5" s="7" t="n">
        <x:v>43165726.64</x:v>
      </x:c>
      <x:c r="I5" s="11" t="n">
        <x:f>G5/E5</x:f>
        <x:v>1.5561445212739862</x:v>
      </x:c>
      <x:c r="J5" s="11" t="n">
        <x:f>H5/G5</x:f>
        <x:v>0.4340662863247779</x:v>
      </x:c>
      <x:c r="K5" s="7" t="n">
        <x:v>8381046.38</x:v>
      </x:c>
      <x:c r="L5" s="7" t="n">
        <x:v>89046</x:v>
      </x:c>
      <x:c r="M5" s="7" t="n">
        <x:v>1234623</x:v>
      </x:c>
      <x:c r="N5" s="7" t="n">
        <x:f>K5+L5-M5</x:f>
        <x:v>7235469.379999999</x:v>
      </x:c>
    </x:row>
    <x:row r="6" ht="23" customHeight="1">
      <x:c r="A6" s="10" t="n">
        <x:v>5</x:v>
      </x:c>
      <x:c r="B6" s="8" t="str">
        <x:v>Chennai Central</x:v>
      </x:c>
      <x:c r="C6" s="8" t="str">
        <x:v>Chennai</x:v>
      </x:c>
      <x:c r="D6" s="8" t="str">
        <x:v>South</x:v>
      </x:c>
      <x:c r="E6" s="7" t="n">
        <x:v>70241498.88</x:v>
      </x:c>
      <x:c r="F6" s="10" t="n">
        <x:v>324</x:v>
      </x:c>
      <x:c r="G6" s="7" t="n">
        <x:v>105345324.84</x:v>
      </x:c>
      <x:c r="H6" s="7" t="n">
        <x:v>46372056.29</x:v>
      </x:c>
      <x:c r="I6" s="11" t="n">
        <x:f>G6/E6</x:f>
        <x:v>1.499759067214256</x:v>
      </x:c>
      <x:c r="J6" s="11" t="n">
        <x:f>H6/G6</x:f>
        <x:v>0.44019092788816727</x:v>
      </x:c>
      <x:c r="K6" s="7" t="n">
        <x:v>8902921.25</x:v>
      </x:c>
      <x:c r="L6" s="7" t="n">
        <x:v>94032</x:v>
      </x:c>
      <x:c r="M6" s="7" t="n">
        <x:v>1261416</x:v>
      </x:c>
      <x:c r="N6" s="7" t="n">
        <x:f>K6+L6-M6</x:f>
        <x:v>7735537.25</x:v>
      </x:c>
    </x:row>
    <x:row r="7" ht="23" customHeight="1">
      <x:c r="A7" s="10" t="n">
        <x:v>6</x:v>
      </x:c>
      <x:c r="B7" s="8" t="str">
        <x:v>Pune Central</x:v>
      </x:c>
      <x:c r="C7" s="8" t="str">
        <x:v>Pune</x:v>
      </x:c>
      <x:c r="D7" s="8" t="str">
        <x:v>West</x:v>
      </x:c>
      <x:c r="E7" s="7" t="n">
        <x:v>68491025.82</x:v>
      </x:c>
      <x:c r="F7" s="10" t="n">
        <x:v>326</x:v>
      </x:c>
      <x:c r="G7" s="7" t="n">
        <x:v>130427312.36</x:v>
      </x:c>
      <x:c r="H7" s="7" t="n">
        <x:v>37916733.11</x:v>
      </x:c>
      <x:c r="I7" s="11" t="n">
        <x:f>G7/E7</x:f>
        <x:v>1.9042978375411346</x:v>
      </x:c>
      <x:c r="J7" s="11" t="n">
        <x:f>H7/G7</x:f>
        <x:v>0.2907116034511531</x:v>
      </x:c>
      <x:c r="K7" s="7" t="n">
        <x:v>10009610.68</x:v>
      </x:c>
      <x:c r="L7" s="7" t="n">
        <x:v>95562</x:v>
      </x:c>
      <x:c r="M7" s="7" t="n">
        <x:v>1271181</x:v>
      </x:c>
      <x:c r="N7" s="7" t="n">
        <x:f>K7+L7-M7</x:f>
        <x:v>8833991.68</x:v>
      </x:c>
    </x:row>
    <x:row r="8" ht="23" customHeight="1">
      <x:c r="A8" s="10" t="n">
        <x:v>7</x:v>
      </x:c>
      <x:c r="B8" s="8" t="str">
        <x:v>Mumbai Central</x:v>
      </x:c>
      <x:c r="C8" s="8" t="str">
        <x:v>Mumbai</x:v>
      </x:c>
      <x:c r="D8" s="8" t="str">
        <x:v>West</x:v>
      </x:c>
      <x:c r="E8" s="7" t="n">
        <x:v>64757593.07</x:v>
      </x:c>
      <x:c r="F8" s="10" t="n">
        <x:v>299</x:v>
      </x:c>
      <x:c r="G8" s="7" t="n">
        <x:v>102812517.12</x:v>
      </x:c>
      <x:c r="H8" s="7" t="n">
        <x:v>43218399.87</x:v>
      </x:c>
      <x:c r="I8" s="11" t="n">
        <x:f>G8/E8</x:f>
        <x:v>1.5876519222829109</x:v>
      </x:c>
      <x:c r="J8" s="11" t="n">
        <x:f>H8/G8</x:f>
        <x:v>0.4203612661244024</x:v>
      </x:c>
      <x:c r="K8" s="7" t="n">
        <x:v>8484118.26</x:v>
      </x:c>
      <x:c r="L8" s="7" t="n">
        <x:v>84294</x:v>
      </x:c>
      <x:c r="M8" s="7" t="n">
        <x:v>1220547</x:v>
      </x:c>
      <x:c r="N8" s="7" t="n">
        <x:f>K8+L8-M8</x:f>
        <x:v>7347865.26</x:v>
      </x:c>
    </x:row>
    <x:row r="9" ht="23" customHeight="1">
      <x:c r="A9" s="10" t="n">
        <x:v>8</x:v>
      </x:c>
      <x:c r="B9" s="8" t="str">
        <x:v>Delhi Central</x:v>
      </x:c>
      <x:c r="C9" s="8" t="str">
        <x:v>Delhi</x:v>
      </x:c>
      <x:c r="D9" s="8" t="str">
        <x:v>North</x:v>
      </x:c>
      <x:c r="E9" s="7" t="n">
        <x:v>62890633.21</x:v>
      </x:c>
      <x:c r="F9" s="10" t="n">
        <x:v>307</x:v>
      </x:c>
      <x:c r="G9" s="7" t="n">
        <x:v>108894441.99</x:v>
      </x:c>
      <x:c r="H9" s="7" t="n">
        <x:v>43215849.58</x:v>
      </x:c>
      <x:c r="I9" s="11" t="n">
        <x:f>G9/E9</x:f>
        <x:v>1.7314890379046954</x:v>
      </x:c>
      <x:c r="J9" s="11" t="n">
        <x:f>H9/G9</x:f>
        <x:v>0.39686001223063894</x:v>
      </x:c>
      <x:c r="K9" s="7" t="n">
        <x:v>9134854.4</x:v>
      </x:c>
      <x:c r="L9" s="7" t="n">
        <x:v>85320</x:v>
      </x:c>
      <x:c r="M9" s="7" t="n">
        <x:v>1232760</x:v>
      </x:c>
      <x:c r="N9" s="7" t="n">
        <x:f>K9+L9-M9</x:f>
        <x:v>7987414.4</x:v>
      </x:c>
    </x:row>
  </x:sheetData>
  <x:pageMargins left="0.7" right="0.7" top="0.75" bottom="0.75" header="0.3" footer="0.3"/>
  <x:drawing xmlns:r="http://schemas.openxmlformats.org/officeDocument/2006/relationships" r:id="R76a36e12211746f6"/>
  <x:tableParts count="1">
    <x:tablePart xmlns:r="http://schemas.openxmlformats.org/officeDocument/2006/relationships" r:id="R3c0c1f87c00e47e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5" customHeight="1">
      <x:c r="A1" s="6" t="str">
        <x:v>score_band</x:v>
      </x:c>
      <x:c r="B1" s="6" t="str">
        <x:v>loan_count</x:v>
      </x:c>
      <x:c r="C1" s="6" t="str">
        <x:v>outstanding</x:v>
      </x:c>
      <x:c r="D1" s="6" t="str">
        <x:v>dpd90_count</x:v>
      </x:c>
      <x:c r="E1" s="6" t="str">
        <x:v>dpd90_loan_rate</x:v>
      </x:c>
      <x:c r="F1" s="6" t="str">
        <x:v>dpd90_exposure_ratio</x:v>
      </x:c>
    </x:row>
    <x:row r="2" ht="23" customHeight="1">
      <x:c r="A2" s="8" t="str">
        <x:v>&lt;650</x:v>
      </x:c>
      <x:c r="B2" s="10" t="n">
        <x:v>266</x:v>
      </x:c>
      <x:c r="C2" s="7" t="n">
        <x:v>210535152.2</x:v>
      </x:c>
      <x:c r="D2" s="10" t="n">
        <x:v>140</x:v>
      </x:c>
      <x:c r="E2" s="11" t="n">
        <x:v>0.5263157894736842</x:v>
      </x:c>
      <x:c r="F2" s="11" t="n">
        <x:v>0.5749143231198615</x:v>
      </x:c>
    </x:row>
    <x:row r="3" ht="23" customHeight="1">
      <x:c r="A3" s="8" t="str">
        <x:v>650-749</x:v>
      </x:c>
      <x:c r="B3" s="10" t="n">
        <x:v>606</x:v>
      </x:c>
      <x:c r="C3" s="7" t="n">
        <x:v>456470361.05</x:v>
      </x:c>
      <x:c r="D3" s="10" t="n">
        <x:v>214</x:v>
      </x:c>
      <x:c r="E3" s="11" t="n">
        <x:v>0.3531353135313531</x:v>
      </x:c>
      <x:c r="F3" s="11" t="n">
        <x:v>0.3644307217830041</x:v>
      </x:c>
    </x:row>
    <x:row r="4" ht="23" customHeight="1">
      <x:c r="A4" s="8" t="str">
        <x:v>750+</x:v>
      </x:c>
      <x:c r="B4" s="10" t="n">
        <x:v>328</x:v>
      </x:c>
      <x:c r="C4" s="7" t="n">
        <x:v>232813608.92</x:v>
      </x:c>
      <x:c r="D4" s="10" t="n">
        <x:v>47</x:v>
      </x:c>
      <x:c r="E4" s="11" t="n">
        <x:v>0.1432926829268292</x:v>
      </x:c>
      <x:c r="F4" s="11" t="n">
        <x:v>0.156670431291384</x:v>
      </x:c>
    </x:row>
  </x:sheetData>
  <x:pageMargins left="0.7" right="0.7" top="0.75" bottom="0.75" header="0.3" footer="0.3"/>
  <x:drawing xmlns:r="http://schemas.openxmlformats.org/officeDocument/2006/relationships" r:id="Rc2ed18de20294e49"/>
  <x:tableParts count="1">
    <x:tablePart xmlns:r="http://schemas.openxmlformats.org/officeDocument/2006/relationships" r:id="R0d3ae7c28de44d8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5" customHeight="1">
      <x:c r="A1" s="6" t="str">
        <x:v>channel</x:v>
      </x:c>
      <x:c r="B1" s="6" t="str">
        <x:v>transaction_count</x:v>
      </x:c>
      <x:c r="C1" s="6" t="str">
        <x:v>transaction_value</x:v>
      </x:c>
      <x:c r="D1" s="6" t="str">
        <x:v>transaction_share</x:v>
      </x:c>
    </x:row>
    <x:row r="2" ht="23" customHeight="1">
      <x:c r="A2" s="8" t="str">
        <x:v>Mobile</x:v>
      </x:c>
      <x:c r="B2" s="10" t="n">
        <x:v>18079</x:v>
      </x:c>
      <x:c r="C2" s="7" t="n">
        <x:v>120578299.55</x:v>
      </x:c>
      <x:c r="D2" s="11" t="n">
        <x:v>0.451975</x:v>
      </x:c>
    </x:row>
    <x:row r="3" ht="23" customHeight="1">
      <x:c r="A3" s="8" t="str">
        <x:v>Internet</x:v>
      </x:c>
      <x:c r="B3" s="10" t="n">
        <x:v>10603</x:v>
      </x:c>
      <x:c r="C3" s="7" t="n">
        <x:v>70057480.32</x:v>
      </x:c>
      <x:c r="D3" s="11" t="n">
        <x:v>0.265075</x:v>
      </x:c>
    </x:row>
    <x:row r="4" ht="23" customHeight="1">
      <x:c r="A4" s="8" t="str">
        <x:v>Atm</x:v>
      </x:c>
      <x:c r="B4" s="10" t="n">
        <x:v>7331</x:v>
      </x:c>
      <x:c r="C4" s="7" t="n">
        <x:v>50557277.44</x:v>
      </x:c>
      <x:c r="D4" s="11" t="n">
        <x:v>0.183275</x:v>
      </x:c>
    </x:row>
    <x:row r="5" ht="23" customHeight="1">
      <x:c r="A5" s="8" t="str">
        <x:v>Branch</x:v>
      </x:c>
      <x:c r="B5" s="10" t="n">
        <x:v>3987</x:v>
      </x:c>
      <x:c r="C5" s="7" t="n">
        <x:v>26278273.01</x:v>
      </x:c>
      <x:c r="D5" s="11" t="n">
        <x:v>0.099675</x:v>
      </x:c>
    </x:row>
  </x:sheetData>
  <x:pageMargins left="0.7" right="0.7" top="0.75" bottom="0.75" header="0.3" footer="0.3"/>
  <x:drawing xmlns:r="http://schemas.openxmlformats.org/officeDocument/2006/relationships" r:id="R142ddfcaa7cc43a2"/>
  <x:tableParts count="1">
    <x:tablePart xmlns:r="http://schemas.openxmlformats.org/officeDocument/2006/relationships" r:id="Re2a57597f69f43a4"/>
  </x:tableParts>
</x:worksheet>
</file>